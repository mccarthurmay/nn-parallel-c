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Nextcloud\Old\nn-parallel-c\"/>
    </mc:Choice>
  </mc:AlternateContent>
  <xr:revisionPtr revIDLastSave="0" documentId="13_ncr:1_{90ADD669-FCEF-4ECD-9E9A-FE24AB57FF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otes" sheetId="1" r:id="rId1"/>
    <sheet name="tau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4" i="2"/>
  <c r="D3" i="2"/>
  <c r="D9" i="1"/>
  <c r="D8" i="1"/>
  <c r="D7" i="1"/>
  <c r="C9" i="1"/>
  <c r="C8" i="1"/>
  <c r="C7" i="1"/>
</calcChain>
</file>

<file path=xl/sharedStrings.xml><?xml version="1.0" encoding="utf-8"?>
<sst xmlns="http://schemas.openxmlformats.org/spreadsheetml/2006/main" count="65" uniqueCount="23">
  <si>
    <t>Found that maybe notes on a csv is easier than txt</t>
  </si>
  <si>
    <t>Time</t>
  </si>
  <si>
    <t>Instructions</t>
  </si>
  <si>
    <t>Totals</t>
  </si>
  <si>
    <t xml:space="preserve">v1 </t>
  </si>
  <si>
    <t>v2</t>
  </si>
  <si>
    <t>Change</t>
  </si>
  <si>
    <t>L1 cache misses</t>
  </si>
  <si>
    <t>%v2</t>
  </si>
  <si>
    <t>v1</t>
  </si>
  <si>
    <t>%v1</t>
  </si>
  <si>
    <t>backprop (v1)</t>
  </si>
  <si>
    <t>Batch backprop</t>
  </si>
  <si>
    <t>Batch Grad</t>
  </si>
  <si>
    <t>Batch Forward</t>
  </si>
  <si>
    <t>Batch backward</t>
  </si>
  <si>
    <t>It seems like charlie split up the backprop code while also making matmult part of the backprop</t>
  </si>
  <si>
    <t>matmult (backprop only)</t>
  </si>
  <si>
    <t>matmult is used in evaluate, but barely</t>
  </si>
  <si>
    <t xml:space="preserve">Here are totals for matmult and backprop in v1 vs the new code in v2 </t>
  </si>
  <si>
    <t>v1 backprop</t>
  </si>
  <si>
    <t>v2 backprop</t>
  </si>
  <si>
    <t>I also went and tested v1's O2 vs O3 optimization, found nothing significant. I think this was a prompt from Danielle asking if O3 maybe did the nested loops better than O2. It was different by ~noise. We will continue doing optimizations in O3 though.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</si>
</sst>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22" sqref="B22"/>
    </sheetView>
  </sheetViews>
  <sheetFormatPr defaultRowHeight="15" x14ac:dyDescent="0.25"/>
  <cols>
    <col min="1" max="1" width="116.85546875" style="4" customWidth="1"/>
    <col min="2" max="2" width="14.42578125" customWidth="1"/>
    <col min="3" max="3" width="12.7109375" customWidth="1"/>
  </cols>
  <sheetData>
    <row r="1" spans="1:4" x14ac:dyDescent="0.25">
      <c r="A1" s="4" t="s">
        <v>0</v>
      </c>
    </row>
    <row r="2" spans="1:4" x14ac:dyDescent="0.25">
      <c r="A2" s="4" t="s">
        <v>16</v>
      </c>
    </row>
    <row r="6" spans="1:4" x14ac:dyDescent="0.25">
      <c r="C6" t="s">
        <v>20</v>
      </c>
      <c r="D6" t="s">
        <v>21</v>
      </c>
    </row>
    <row r="7" spans="1:4" x14ac:dyDescent="0.25">
      <c r="A7" s="4" t="s">
        <v>19</v>
      </c>
      <c r="B7" t="s">
        <v>1</v>
      </c>
      <c r="C7" s="2">
        <f>'tau results'!B15+'tau results'!B9</f>
        <v>9473</v>
      </c>
      <c r="D7">
        <f>'tau results'!D21+'tau results'!D27+'tau results'!D33+'tau results'!D39</f>
        <v>6158</v>
      </c>
    </row>
    <row r="8" spans="1:4" x14ac:dyDescent="0.25">
      <c r="B8" t="s">
        <v>2</v>
      </c>
      <c r="C8" s="2">
        <f>'tau results'!B10+'tau results'!B16</f>
        <v>65320</v>
      </c>
      <c r="D8" s="2">
        <f>'tau results'!D22+'tau results'!D28+'tau results'!D34+'tau results'!D40</f>
        <v>55032.6</v>
      </c>
    </row>
    <row r="9" spans="1:4" x14ac:dyDescent="0.25">
      <c r="B9" t="s">
        <v>7</v>
      </c>
      <c r="C9">
        <f>'tau results'!B11+'tau results'!B17</f>
        <v>1021.1</v>
      </c>
      <c r="D9">
        <f>'tau results'!D23+'tau results'!D29+'tau results'!D35+'tau results'!D41</f>
        <v>996</v>
      </c>
    </row>
    <row r="11" spans="1:4" ht="30" x14ac:dyDescent="0.25">
      <c r="A11" s="4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2312-E713-4793-8D65-3B47303CDAC5}">
  <dimension ref="A1:E41"/>
  <sheetViews>
    <sheetView workbookViewId="0">
      <selection activeCell="A44" sqref="A44"/>
    </sheetView>
  </sheetViews>
  <sheetFormatPr defaultRowHeight="15" x14ac:dyDescent="0.25"/>
  <cols>
    <col min="1" max="1" width="17.140625" customWidth="1"/>
    <col min="2" max="2" width="16.28515625" customWidth="1"/>
    <col min="3" max="3" width="16.140625" customWidth="1"/>
    <col min="4" max="4" width="15.7109375" customWidth="1"/>
    <col min="5" max="5" width="16.28515625" customWidth="1"/>
  </cols>
  <sheetData>
    <row r="1" spans="1:5" x14ac:dyDescent="0.25">
      <c r="A1" t="s">
        <v>3</v>
      </c>
    </row>
    <row r="2" spans="1:5" x14ac:dyDescent="0.25">
      <c r="B2" t="s">
        <v>4</v>
      </c>
      <c r="C2" t="s">
        <v>5</v>
      </c>
      <c r="D2" t="s">
        <v>6</v>
      </c>
    </row>
    <row r="3" spans="1:5" x14ac:dyDescent="0.25">
      <c r="A3" t="s">
        <v>1</v>
      </c>
      <c r="B3">
        <v>12124</v>
      </c>
      <c r="C3">
        <v>7903</v>
      </c>
      <c r="D3">
        <f>1-C3/B3</f>
        <v>0.34815242494226328</v>
      </c>
    </row>
    <row r="4" spans="1:5" x14ac:dyDescent="0.25">
      <c r="A4" t="s">
        <v>2</v>
      </c>
      <c r="B4" s="1">
        <v>76550000000</v>
      </c>
      <c r="C4" s="1">
        <v>64520000000</v>
      </c>
      <c r="D4">
        <f>1-C4/B4</f>
        <v>0.15715218811234488</v>
      </c>
    </row>
    <row r="5" spans="1:5" x14ac:dyDescent="0.25">
      <c r="A5" t="s">
        <v>7</v>
      </c>
      <c r="B5" s="1">
        <v>1301000000</v>
      </c>
      <c r="C5" s="1">
        <v>1257000000</v>
      </c>
      <c r="D5">
        <f>1-C5/B5</f>
        <v>3.382013835511144E-2</v>
      </c>
    </row>
    <row r="7" spans="1:5" x14ac:dyDescent="0.25">
      <c r="A7" t="s">
        <v>17</v>
      </c>
      <c r="C7" t="s">
        <v>18</v>
      </c>
    </row>
    <row r="8" spans="1:5" x14ac:dyDescent="0.25">
      <c r="B8" t="s">
        <v>9</v>
      </c>
      <c r="C8" t="s">
        <v>10</v>
      </c>
      <c r="D8" t="s">
        <v>5</v>
      </c>
      <c r="E8" t="s">
        <v>8</v>
      </c>
    </row>
    <row r="9" spans="1:5" x14ac:dyDescent="0.25">
      <c r="A9" t="s">
        <v>1</v>
      </c>
      <c r="B9" s="2">
        <v>3125</v>
      </c>
      <c r="C9" s="3">
        <v>0.25800000000000001</v>
      </c>
    </row>
    <row r="10" spans="1:5" x14ac:dyDescent="0.25">
      <c r="A10" t="s">
        <v>2</v>
      </c>
      <c r="B10" s="2">
        <v>22310</v>
      </c>
      <c r="C10" s="3">
        <v>0.29099999999999998</v>
      </c>
    </row>
    <row r="11" spans="1:5" x14ac:dyDescent="0.25">
      <c r="A11" t="s">
        <v>7</v>
      </c>
      <c r="B11">
        <v>482.1</v>
      </c>
      <c r="C11" s="3">
        <v>0.371</v>
      </c>
    </row>
    <row r="13" spans="1:5" x14ac:dyDescent="0.25">
      <c r="A13" t="s">
        <v>11</v>
      </c>
    </row>
    <row r="14" spans="1:5" x14ac:dyDescent="0.25">
      <c r="B14" t="s">
        <v>9</v>
      </c>
      <c r="C14" t="s">
        <v>10</v>
      </c>
      <c r="D14" t="s">
        <v>5</v>
      </c>
      <c r="E14" t="s">
        <v>8</v>
      </c>
    </row>
    <row r="15" spans="1:5" x14ac:dyDescent="0.25">
      <c r="A15" t="s">
        <v>1</v>
      </c>
      <c r="B15">
        <v>6348</v>
      </c>
      <c r="C15">
        <v>52.4</v>
      </c>
    </row>
    <row r="16" spans="1:5" x14ac:dyDescent="0.25">
      <c r="A16" t="s">
        <v>2</v>
      </c>
      <c r="B16" s="2">
        <v>43010</v>
      </c>
      <c r="C16" s="3">
        <v>0.56200000000000006</v>
      </c>
    </row>
    <row r="17" spans="1:5" x14ac:dyDescent="0.25">
      <c r="A17" t="s">
        <v>7</v>
      </c>
      <c r="B17">
        <v>539</v>
      </c>
      <c r="C17" s="3">
        <v>0.41399999999999998</v>
      </c>
    </row>
    <row r="19" spans="1:5" x14ac:dyDescent="0.25">
      <c r="A19" t="s">
        <v>14</v>
      </c>
    </row>
    <row r="20" spans="1:5" x14ac:dyDescent="0.25">
      <c r="B20" t="s">
        <v>9</v>
      </c>
      <c r="C20" t="s">
        <v>10</v>
      </c>
      <c r="D20" t="s">
        <v>5</v>
      </c>
      <c r="E20" t="s">
        <v>8</v>
      </c>
    </row>
    <row r="21" spans="1:5" x14ac:dyDescent="0.25">
      <c r="A21" t="s">
        <v>1</v>
      </c>
      <c r="D21">
        <v>3534</v>
      </c>
      <c r="E21">
        <v>44.7</v>
      </c>
    </row>
    <row r="22" spans="1:5" x14ac:dyDescent="0.25">
      <c r="A22" t="s">
        <v>2</v>
      </c>
      <c r="D22" s="2">
        <v>24840</v>
      </c>
      <c r="E22" s="3">
        <v>0.38500000000000001</v>
      </c>
    </row>
    <row r="23" spans="1:5" x14ac:dyDescent="0.25">
      <c r="A23" t="s">
        <v>7</v>
      </c>
      <c r="D23">
        <v>492.2</v>
      </c>
      <c r="E23" s="3">
        <v>0.39200000000000002</v>
      </c>
    </row>
    <row r="25" spans="1:5" x14ac:dyDescent="0.25">
      <c r="A25" t="s">
        <v>13</v>
      </c>
    </row>
    <row r="26" spans="1:5" x14ac:dyDescent="0.25">
      <c r="B26" t="s">
        <v>9</v>
      </c>
      <c r="C26" t="s">
        <v>10</v>
      </c>
      <c r="D26" t="s">
        <v>5</v>
      </c>
      <c r="E26" t="s">
        <v>8</v>
      </c>
    </row>
    <row r="27" spans="1:5" x14ac:dyDescent="0.25">
      <c r="A27" t="s">
        <v>1</v>
      </c>
      <c r="D27">
        <v>2238</v>
      </c>
      <c r="E27">
        <v>28.3</v>
      </c>
    </row>
    <row r="28" spans="1:5" x14ac:dyDescent="0.25">
      <c r="A28" t="s">
        <v>2</v>
      </c>
      <c r="D28" s="2">
        <v>28750</v>
      </c>
      <c r="E28" s="3">
        <v>0.44600000000000001</v>
      </c>
    </row>
    <row r="29" spans="1:5" x14ac:dyDescent="0.25">
      <c r="A29" t="s">
        <v>7</v>
      </c>
      <c r="D29">
        <v>471.7</v>
      </c>
      <c r="E29" s="3">
        <v>0.375</v>
      </c>
    </row>
    <row r="31" spans="1:5" x14ac:dyDescent="0.25">
      <c r="A31" t="s">
        <v>12</v>
      </c>
    </row>
    <row r="32" spans="1:5" x14ac:dyDescent="0.25">
      <c r="B32" t="s">
        <v>9</v>
      </c>
      <c r="C32" t="s">
        <v>10</v>
      </c>
      <c r="D32" t="s">
        <v>5</v>
      </c>
      <c r="E32" t="s">
        <v>8</v>
      </c>
    </row>
    <row r="33" spans="1:5" x14ac:dyDescent="0.25">
      <c r="A33" t="s">
        <v>1</v>
      </c>
      <c r="D33">
        <v>341</v>
      </c>
      <c r="E33" s="3">
        <v>4.2999999999999997E-2</v>
      </c>
    </row>
    <row r="34" spans="1:5" x14ac:dyDescent="0.25">
      <c r="A34" t="s">
        <v>2</v>
      </c>
      <c r="D34" s="2">
        <v>1022</v>
      </c>
      <c r="E34" s="3">
        <v>1.6E-2</v>
      </c>
    </row>
    <row r="35" spans="1:5" x14ac:dyDescent="0.25">
      <c r="A35" t="s">
        <v>7</v>
      </c>
      <c r="D35">
        <v>30.2</v>
      </c>
      <c r="E35" s="3">
        <v>2.4E-2</v>
      </c>
    </row>
    <row r="37" spans="1:5" x14ac:dyDescent="0.25">
      <c r="A37" t="s">
        <v>15</v>
      </c>
    </row>
    <row r="38" spans="1:5" x14ac:dyDescent="0.25">
      <c r="B38" t="s">
        <v>9</v>
      </c>
      <c r="C38" t="s">
        <v>10</v>
      </c>
      <c r="D38" t="s">
        <v>5</v>
      </c>
      <c r="E38" t="s">
        <v>8</v>
      </c>
    </row>
    <row r="39" spans="1:5" x14ac:dyDescent="0.25">
      <c r="A39" t="s">
        <v>1</v>
      </c>
      <c r="D39">
        <v>45</v>
      </c>
      <c r="E39" s="3">
        <v>6.0000000000000001E-3</v>
      </c>
    </row>
    <row r="40" spans="1:5" x14ac:dyDescent="0.25">
      <c r="A40" t="s">
        <v>2</v>
      </c>
      <c r="D40">
        <v>420.6</v>
      </c>
      <c r="E40" s="3">
        <v>7.0000000000000001E-3</v>
      </c>
    </row>
    <row r="41" spans="1:5" x14ac:dyDescent="0.25">
      <c r="A41" t="s">
        <v>7</v>
      </c>
      <c r="D41">
        <v>1.9</v>
      </c>
      <c r="E41" s="3">
        <v>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tau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Maximillian May</cp:lastModifiedBy>
  <dcterms:created xsi:type="dcterms:W3CDTF">2015-06-05T18:17:20Z</dcterms:created>
  <dcterms:modified xsi:type="dcterms:W3CDTF">2026-09-09T07:00:17Z</dcterms:modified>
</cp:coreProperties>
</file>